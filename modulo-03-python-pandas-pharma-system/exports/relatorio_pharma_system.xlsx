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Faturamento Mensal" sheetId="2" state="visible" r:id="rId2"/>
    <sheet xmlns:r="http://schemas.openxmlformats.org/officeDocument/2006/relationships" name="Ranking Filiais" sheetId="3" state="visible" r:id="rId3"/>
    <sheet xmlns:r="http://schemas.openxmlformats.org/officeDocument/2006/relationships" name="Ranking Produtos" sheetId="4" state="visible" r:id="rId4"/>
    <sheet xmlns:r="http://schemas.openxmlformats.org/officeDocument/2006/relationships" name="Top Clientes" sheetId="5" state="visible" r:id="rId5"/>
    <sheet xmlns:r="http://schemas.openxmlformats.org/officeDocument/2006/relationships" name="Faixa Etaria" sheetId="6" state="visible" r:id="rId6"/>
    <sheet xmlns:r="http://schemas.openxmlformats.org/officeDocument/2006/relationships" name="Categorias" sheetId="7" state="visible" r:id="rId7"/>
    <sheet xmlns:r="http://schemas.openxmlformats.org/officeDocument/2006/relationships" name="Formas Pagamento" sheetId="8" state="visible" r:id="rId8"/>
    <sheet xmlns:r="http://schemas.openxmlformats.org/officeDocument/2006/relationships" name="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6">
    <font>
      <name val="Calibri"/>
      <family val="2"/>
      <color theme="1"/>
      <sz val="11"/>
      <scheme val="minor"/>
    </font>
    <font>
      <name val="Calibri"/>
      <b val="1"/>
      <color rgb="0000695C"/>
      <sz val="14"/>
    </font>
    <font>
      <name val="Calibri"/>
      <i val="1"/>
      <color rgb="00757575"/>
      <sz val="10"/>
    </font>
    <font>
      <name val="Calibri"/>
      <color rgb="00757575"/>
      <sz val="10"/>
    </font>
    <font>
      <name val="Calibri"/>
      <b val="1"/>
      <color rgb="00FFFFFF"/>
      <sz val="11"/>
    </font>
    <font>
      <name val="Calibri"/>
      <color rgb="00424242"/>
      <sz val="11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Resumo Executivo — PharmaMinas</t>
        </is>
      </c>
    </row>
    <row r="2">
      <c r="A2" s="2" t="inlineStr">
        <is>
          <t>Dados agregados de todo o periodo | Gerado automaticamente</t>
        </is>
      </c>
    </row>
    <row r="4">
      <c r="A4" s="3" t="inlineStr">
        <is>
          <t>Faturamento Total</t>
        </is>
      </c>
      <c r="B4" s="4" t="n">
        <v>226548.6</v>
      </c>
    </row>
    <row r="5">
      <c r="A5" s="3" t="inlineStr">
        <is>
          <t>Total de Vendas Concluidas</t>
        </is>
      </c>
      <c r="B5" s="5" t="n">
        <v>1458</v>
      </c>
    </row>
    <row r="6">
      <c r="A6" s="3" t="inlineStr">
        <is>
          <t>Total de Itens Vendidos</t>
        </is>
      </c>
      <c r="B6" s="5" t="n">
        <v>4247</v>
      </c>
    </row>
    <row r="7">
      <c r="A7" s="3" t="inlineStr">
        <is>
          <t>Ticket Medio</t>
        </is>
      </c>
      <c r="B7" s="4" t="n">
        <v>155.3831275720165</v>
      </c>
    </row>
    <row r="8">
      <c r="A8" s="3" t="inlineStr">
        <is>
          <t>Margem Bruta Total</t>
        </is>
      </c>
      <c r="B8" s="4" t="n">
        <v>123224.2</v>
      </c>
    </row>
    <row r="9">
      <c r="A9" s="3" t="inlineStr">
        <is>
          <t>Percentual de Margem</t>
        </is>
      </c>
      <c r="B9" s="6" t="n">
        <v>54.39194945367132</v>
      </c>
    </row>
    <row r="10">
      <c r="A10" s="3" t="inlineStr">
        <is>
          <t>Clientes Distintos</t>
        </is>
      </c>
      <c r="B10" s="5" t="n">
        <v>200</v>
      </c>
    </row>
    <row r="11">
      <c r="A11" s="3" t="inlineStr">
        <is>
          <t>Produtos Distintos Vendidos</t>
        </is>
      </c>
      <c r="B11" s="5" t="n">
        <v>71</v>
      </c>
    </row>
    <row r="12">
      <c r="A12" s="3" t="inlineStr">
        <is>
          <t>Filiais Ativas</t>
        </is>
      </c>
      <c r="B12" s="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1" customWidth="1" min="4" max="4"/>
  </cols>
  <sheetData>
    <row r="1">
      <c r="A1" s="1" t="inlineStr">
        <is>
          <t>Faturamento Mensal</t>
        </is>
      </c>
    </row>
    <row r="2">
      <c r="A2" s="2" t="inlineStr">
        <is>
          <t>Evolucao do faturamento agregado por mes</t>
        </is>
      </c>
    </row>
    <row r="4">
      <c r="A4" s="7" t="inlineStr">
        <is>
          <t>ano_mes</t>
        </is>
      </c>
      <c r="B4" s="7" t="inlineStr">
        <is>
          <t>faturamento</t>
        </is>
      </c>
      <c r="C4" s="7" t="inlineStr">
        <is>
          <t>n_vendas</t>
        </is>
      </c>
      <c r="D4" s="7" t="inlineStr">
        <is>
          <t>ticket_medio</t>
        </is>
      </c>
    </row>
    <row r="5">
      <c r="A5" s="8" t="inlineStr">
        <is>
          <t>2024-01</t>
        </is>
      </c>
      <c r="B5" s="9" t="n">
        <v>1374.9</v>
      </c>
      <c r="C5" s="10" t="n">
        <v>16</v>
      </c>
      <c r="D5" s="9" t="n">
        <v>85.93125000000001</v>
      </c>
    </row>
    <row r="6">
      <c r="A6" s="8" t="inlineStr">
        <is>
          <t>2024-02</t>
        </is>
      </c>
      <c r="B6" s="9" t="n">
        <v>4459.3</v>
      </c>
      <c r="C6" s="10" t="n">
        <v>15</v>
      </c>
      <c r="D6" s="9" t="n">
        <v>297.2866666666667</v>
      </c>
    </row>
    <row r="7">
      <c r="A7" s="8" t="inlineStr">
        <is>
          <t>2024-03</t>
        </is>
      </c>
      <c r="B7" s="9" t="n">
        <v>3892.5</v>
      </c>
      <c r="C7" s="10" t="n">
        <v>20</v>
      </c>
      <c r="D7" s="9" t="n">
        <v>194.625</v>
      </c>
    </row>
    <row r="8">
      <c r="A8" s="8" t="inlineStr">
        <is>
          <t>2024-04</t>
        </is>
      </c>
      <c r="B8" s="9" t="n">
        <v>3163.8</v>
      </c>
      <c r="C8" s="10" t="n">
        <v>18</v>
      </c>
      <c r="D8" s="9" t="n">
        <v>175.7666666666667</v>
      </c>
    </row>
    <row r="9">
      <c r="A9" s="8" t="inlineStr">
        <is>
          <t>2024-05</t>
        </is>
      </c>
      <c r="B9" s="9" t="n">
        <v>2905.5</v>
      </c>
      <c r="C9" s="10" t="n">
        <v>25</v>
      </c>
      <c r="D9" s="9" t="n">
        <v>116.22</v>
      </c>
    </row>
    <row r="10">
      <c r="A10" s="8" t="inlineStr">
        <is>
          <t>2024-06</t>
        </is>
      </c>
      <c r="B10" s="9" t="n">
        <v>3272.1</v>
      </c>
      <c r="C10" s="10" t="n">
        <v>18</v>
      </c>
      <c r="D10" s="9" t="n">
        <v>181.7833333333333</v>
      </c>
    </row>
    <row r="11">
      <c r="A11" s="8" t="inlineStr">
        <is>
          <t>2024-07</t>
        </is>
      </c>
      <c r="B11" s="9" t="n">
        <v>2420.8</v>
      </c>
      <c r="C11" s="10" t="n">
        <v>17</v>
      </c>
      <c r="D11" s="9" t="n">
        <v>142.4</v>
      </c>
    </row>
    <row r="12">
      <c r="A12" s="8" t="inlineStr">
        <is>
          <t>2024-08</t>
        </is>
      </c>
      <c r="B12" s="9" t="n">
        <v>2672.6</v>
      </c>
      <c r="C12" s="10" t="n">
        <v>13</v>
      </c>
      <c r="D12" s="9" t="n">
        <v>205.5846153846154</v>
      </c>
    </row>
    <row r="13">
      <c r="A13" s="8" t="inlineStr">
        <is>
          <t>2024-09</t>
        </is>
      </c>
      <c r="B13" s="9" t="n">
        <v>2360.5</v>
      </c>
      <c r="C13" s="10" t="n">
        <v>15</v>
      </c>
      <c r="D13" s="9" t="n">
        <v>157.3666666666667</v>
      </c>
    </row>
    <row r="14">
      <c r="A14" s="8" t="inlineStr">
        <is>
          <t>2024-10</t>
        </is>
      </c>
      <c r="B14" s="9" t="n">
        <v>1385.8</v>
      </c>
      <c r="C14" s="10" t="n">
        <v>16</v>
      </c>
      <c r="D14" s="9" t="n">
        <v>86.6125</v>
      </c>
    </row>
    <row r="15">
      <c r="A15" s="8" t="inlineStr">
        <is>
          <t>2024-11</t>
        </is>
      </c>
      <c r="B15" s="9" t="n">
        <v>2477.9</v>
      </c>
      <c r="C15" s="10" t="n">
        <v>22</v>
      </c>
      <c r="D15" s="9" t="n">
        <v>112.6318181818182</v>
      </c>
    </row>
    <row r="16">
      <c r="A16" s="8" t="inlineStr">
        <is>
          <t>2024-12</t>
        </is>
      </c>
      <c r="B16" s="9" t="n">
        <v>932.8</v>
      </c>
      <c r="C16" s="10" t="n">
        <v>9</v>
      </c>
      <c r="D16" s="9" t="n">
        <v>103.6444444444444</v>
      </c>
    </row>
    <row r="17">
      <c r="A17" s="8" t="inlineStr">
        <is>
          <t>2025-01</t>
        </is>
      </c>
      <c r="B17" s="9" t="n">
        <v>2149.4</v>
      </c>
      <c r="C17" s="10" t="n">
        <v>26</v>
      </c>
      <c r="D17" s="9" t="n">
        <v>82.66923076923078</v>
      </c>
    </row>
    <row r="18">
      <c r="A18" s="8" t="inlineStr">
        <is>
          <t>2025-02</t>
        </is>
      </c>
      <c r="B18" s="9" t="n">
        <v>3117.7</v>
      </c>
      <c r="C18" s="10" t="n">
        <v>15</v>
      </c>
      <c r="D18" s="9" t="n">
        <v>207.8466666666667</v>
      </c>
    </row>
    <row r="19">
      <c r="A19" s="8" t="inlineStr">
        <is>
          <t>2025-03</t>
        </is>
      </c>
      <c r="B19" s="9" t="n">
        <v>2229.8</v>
      </c>
      <c r="C19" s="10" t="n">
        <v>28</v>
      </c>
      <c r="D19" s="9" t="n">
        <v>79.63571428571429</v>
      </c>
    </row>
    <row r="20">
      <c r="A20" s="8" t="inlineStr">
        <is>
          <t>2025-04</t>
        </is>
      </c>
      <c r="B20" s="9" t="n">
        <v>2496.6</v>
      </c>
      <c r="C20" s="10" t="n">
        <v>19</v>
      </c>
      <c r="D20" s="9" t="n">
        <v>131.4</v>
      </c>
    </row>
    <row r="21">
      <c r="A21" s="8" t="inlineStr">
        <is>
          <t>2025-05</t>
        </is>
      </c>
      <c r="B21" s="9" t="n">
        <v>4151.400000000001</v>
      </c>
      <c r="C21" s="10" t="n">
        <v>14</v>
      </c>
      <c r="D21" s="9" t="n">
        <v>296.5285714285715</v>
      </c>
    </row>
    <row r="22">
      <c r="A22" s="8" t="inlineStr">
        <is>
          <t>2025-06</t>
        </is>
      </c>
      <c r="B22" s="9" t="n">
        <v>4920.7</v>
      </c>
      <c r="C22" s="10" t="n">
        <v>26</v>
      </c>
      <c r="D22" s="9" t="n">
        <v>189.2576923076923</v>
      </c>
    </row>
    <row r="23">
      <c r="A23" s="8" t="inlineStr">
        <is>
          <t>2025-07</t>
        </is>
      </c>
      <c r="B23" s="9" t="n">
        <v>19139.1</v>
      </c>
      <c r="C23" s="10" t="n">
        <v>116</v>
      </c>
      <c r="D23" s="9" t="n">
        <v>164.9922413793103</v>
      </c>
    </row>
    <row r="24">
      <c r="A24" s="8" t="inlineStr">
        <is>
          <t>2025-08</t>
        </is>
      </c>
      <c r="B24" s="9" t="n">
        <v>11753.8</v>
      </c>
      <c r="C24" s="10" t="n">
        <v>76</v>
      </c>
      <c r="D24" s="9" t="n">
        <v>154.6552631578947</v>
      </c>
    </row>
    <row r="25">
      <c r="A25" s="8" t="inlineStr">
        <is>
          <t>2025-09</t>
        </is>
      </c>
      <c r="B25" s="9" t="n">
        <v>14667.6</v>
      </c>
      <c r="C25" s="10" t="n">
        <v>104</v>
      </c>
      <c r="D25" s="9" t="n">
        <v>141.0346153846154</v>
      </c>
    </row>
    <row r="26">
      <c r="A26" s="8" t="inlineStr">
        <is>
          <t>2025-10</t>
        </is>
      </c>
      <c r="B26" s="9" t="n">
        <v>17020.8</v>
      </c>
      <c r="C26" s="10" t="n">
        <v>103</v>
      </c>
      <c r="D26" s="9" t="n">
        <v>165.2504854368932</v>
      </c>
    </row>
    <row r="27">
      <c r="A27" s="8" t="inlineStr">
        <is>
          <t>2025-11</t>
        </is>
      </c>
      <c r="B27" s="9" t="n">
        <v>14254.2</v>
      </c>
      <c r="C27" s="10" t="n">
        <v>94</v>
      </c>
      <c r="D27" s="9" t="n">
        <v>151.6404255319149</v>
      </c>
    </row>
    <row r="28">
      <c r="A28" s="8" t="inlineStr">
        <is>
          <t>2025-12</t>
        </is>
      </c>
      <c r="B28" s="9" t="n">
        <v>10293.5</v>
      </c>
      <c r="C28" s="10" t="n">
        <v>84</v>
      </c>
      <c r="D28" s="9" t="n">
        <v>122.5416666666667</v>
      </c>
    </row>
    <row r="29">
      <c r="A29" s="8" t="inlineStr">
        <is>
          <t>2026-01</t>
        </is>
      </c>
      <c r="B29" s="9" t="n">
        <v>15558.7</v>
      </c>
      <c r="C29" s="10" t="n">
        <v>102</v>
      </c>
      <c r="D29" s="9" t="n">
        <v>152.5362745098039</v>
      </c>
    </row>
    <row r="30">
      <c r="A30" s="8" t="inlineStr">
        <is>
          <t>2026-02</t>
        </is>
      </c>
      <c r="B30" s="9" t="n">
        <v>12034.9</v>
      </c>
      <c r="C30" s="10" t="n">
        <v>80</v>
      </c>
      <c r="D30" s="9" t="n">
        <v>150.43625</v>
      </c>
    </row>
    <row r="31">
      <c r="A31" s="8" t="inlineStr">
        <is>
          <t>2026-03</t>
        </is>
      </c>
      <c r="B31" s="9" t="n">
        <v>15211.5</v>
      </c>
      <c r="C31" s="10" t="n">
        <v>85</v>
      </c>
      <c r="D31" s="9" t="n">
        <v>178.9588235294118</v>
      </c>
    </row>
    <row r="32">
      <c r="A32" s="8" t="inlineStr">
        <is>
          <t>2026-04</t>
        </is>
      </c>
      <c r="B32" s="9" t="n">
        <v>14754.1</v>
      </c>
      <c r="C32" s="10" t="n">
        <v>92</v>
      </c>
      <c r="D32" s="9" t="n">
        <v>160.370652173913</v>
      </c>
    </row>
    <row r="33">
      <c r="A33" s="8" t="inlineStr">
        <is>
          <t>2026-05</t>
        </is>
      </c>
      <c r="B33" s="9" t="n">
        <v>13391.8</v>
      </c>
      <c r="C33" s="10" t="n">
        <v>92</v>
      </c>
      <c r="D33" s="9" t="n">
        <v>145.5630434782609</v>
      </c>
    </row>
    <row r="34">
      <c r="A34" s="8" t="inlineStr">
        <is>
          <t>2026-06</t>
        </is>
      </c>
      <c r="B34" s="9" t="n">
        <v>18084.5</v>
      </c>
      <c r="C34" s="10" t="n">
        <v>98</v>
      </c>
      <c r="D34" s="9" t="n">
        <v>184.5357142857143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Ranking de Filiais por Faturamento</t>
        </is>
      </c>
    </row>
    <row r="2">
      <c r="A2" s="2" t="inlineStr">
        <is>
          <t>Ordenado do maior para o menor</t>
        </is>
      </c>
    </row>
    <row r="4">
      <c r="A4" s="7" t="inlineStr">
        <is>
          <t>filial_nome</t>
        </is>
      </c>
      <c r="B4" s="7" t="inlineStr">
        <is>
          <t>filial_cidade</t>
        </is>
      </c>
      <c r="C4" s="7" t="inlineStr">
        <is>
          <t>faturamento</t>
        </is>
      </c>
      <c r="D4" s="7" t="inlineStr">
        <is>
          <t>n_vendas</t>
        </is>
      </c>
      <c r="E4" s="7" t="inlineStr">
        <is>
          <t>ticket_medio</t>
        </is>
      </c>
      <c r="F4" s="7" t="inlineStr">
        <is>
          <t>percentual_do_total</t>
        </is>
      </c>
      <c r="G4" s="7" t="inlineStr">
        <is>
          <t>ranking</t>
        </is>
      </c>
    </row>
    <row r="5">
      <c r="A5" s="8" t="inlineStr">
        <is>
          <t>PharmaMinas Belo Horizonte Savassi</t>
        </is>
      </c>
      <c r="B5" s="8" t="inlineStr">
        <is>
          <t>Belo Horizonte</t>
        </is>
      </c>
      <c r="C5" s="9" t="n">
        <v>42822.9</v>
      </c>
      <c r="D5" s="10" t="n">
        <v>234</v>
      </c>
      <c r="E5" s="9" t="n">
        <v>183.0038461538462</v>
      </c>
      <c r="F5" s="11" t="n">
        <v>18.9</v>
      </c>
      <c r="G5" s="10" t="n">
        <v>1</v>
      </c>
    </row>
    <row r="6">
      <c r="A6" s="8" t="inlineStr">
        <is>
          <t>PharmaMinas Centro Montes Claros</t>
        </is>
      </c>
      <c r="B6" s="8" t="inlineStr">
        <is>
          <t>Montes Claros</t>
        </is>
      </c>
      <c r="C6" s="9" t="n">
        <v>27830.5</v>
      </c>
      <c r="D6" s="10" t="n">
        <v>184</v>
      </c>
      <c r="E6" s="9" t="n">
        <v>151.2527173913043</v>
      </c>
      <c r="F6" s="11" t="n">
        <v>12.28</v>
      </c>
      <c r="G6" s="10" t="n">
        <v>2</v>
      </c>
    </row>
    <row r="7">
      <c r="A7" s="8" t="inlineStr">
        <is>
          <t>PharmaMinas Uberlandia Centro</t>
        </is>
      </c>
      <c r="B7" s="8" t="inlineStr">
        <is>
          <t>Uberlandia</t>
        </is>
      </c>
      <c r="C7" s="9" t="n">
        <v>27559.2</v>
      </c>
      <c r="D7" s="10" t="n">
        <v>184</v>
      </c>
      <c r="E7" s="9" t="n">
        <v>149.7782608695652</v>
      </c>
      <c r="F7" s="11" t="n">
        <v>12.16</v>
      </c>
      <c r="G7" s="10" t="n">
        <v>3</v>
      </c>
    </row>
    <row r="8">
      <c r="A8" s="8" t="inlineStr">
        <is>
          <t>PharmaMinas Todos os Santos</t>
        </is>
      </c>
      <c r="B8" s="8" t="inlineStr">
        <is>
          <t>Montes Claros</t>
        </is>
      </c>
      <c r="C8" s="9" t="n">
        <v>26289.6</v>
      </c>
      <c r="D8" s="10" t="n">
        <v>166</v>
      </c>
      <c r="E8" s="9" t="n">
        <v>158.3710843373494</v>
      </c>
      <c r="F8" s="11" t="n">
        <v>11.6</v>
      </c>
      <c r="G8" s="10" t="n">
        <v>4</v>
      </c>
    </row>
    <row r="9">
      <c r="A9" s="8" t="inlineStr">
        <is>
          <t>PharmaMinas Ibituruna</t>
        </is>
      </c>
      <c r="B9" s="8" t="inlineStr">
        <is>
          <t>Montes Claros</t>
        </is>
      </c>
      <c r="C9" s="9" t="n">
        <v>14116.6</v>
      </c>
      <c r="D9" s="10" t="n">
        <v>102</v>
      </c>
      <c r="E9" s="9" t="n">
        <v>138.3980392156863</v>
      </c>
      <c r="F9" s="11" t="n">
        <v>6.23</v>
      </c>
      <c r="G9" s="10" t="n">
        <v>5</v>
      </c>
    </row>
    <row r="10">
      <c r="A10" s="8" t="inlineStr">
        <is>
          <t>PharmaMinas Major Prates</t>
        </is>
      </c>
      <c r="B10" s="8" t="inlineStr">
        <is>
          <t>Montes Claros</t>
        </is>
      </c>
      <c r="C10" s="9" t="n">
        <v>13619.3</v>
      </c>
      <c r="D10" s="10" t="n">
        <v>106</v>
      </c>
      <c r="E10" s="9" t="n">
        <v>128.4839622641509</v>
      </c>
      <c r="F10" s="11" t="n">
        <v>6.01</v>
      </c>
      <c r="G10" s="10" t="n">
        <v>6</v>
      </c>
    </row>
    <row r="11">
      <c r="A11" s="8" t="inlineStr">
        <is>
          <t>PharmaMinas Diamantina</t>
        </is>
      </c>
      <c r="B11" s="8" t="inlineStr">
        <is>
          <t>Diamantina</t>
        </is>
      </c>
      <c r="C11" s="9" t="n">
        <v>12155.9</v>
      </c>
      <c r="D11" s="10" t="n">
        <v>58</v>
      </c>
      <c r="E11" s="9" t="n">
        <v>209.5844827586207</v>
      </c>
      <c r="F11" s="11" t="n">
        <v>5.37</v>
      </c>
      <c r="G11" s="10" t="n">
        <v>7</v>
      </c>
    </row>
    <row r="12">
      <c r="A12" s="8" t="inlineStr">
        <is>
          <t>PharmaMinas Salinas</t>
        </is>
      </c>
      <c r="B12" s="8" t="inlineStr">
        <is>
          <t>Salinas</t>
        </is>
      </c>
      <c r="C12" s="9" t="n">
        <v>10953.3</v>
      </c>
      <c r="D12" s="10" t="n">
        <v>58</v>
      </c>
      <c r="E12" s="9" t="n">
        <v>188.85</v>
      </c>
      <c r="F12" s="11" t="n">
        <v>4.83</v>
      </c>
      <c r="G12" s="10" t="n">
        <v>8</v>
      </c>
    </row>
    <row r="13">
      <c r="A13" s="8" t="inlineStr">
        <is>
          <t>PharmaMinas Corinto</t>
        </is>
      </c>
      <c r="B13" s="8" t="inlineStr">
        <is>
          <t>Corinto</t>
        </is>
      </c>
      <c r="C13" s="9" t="n">
        <v>10316.8</v>
      </c>
      <c r="D13" s="10" t="n">
        <v>60</v>
      </c>
      <c r="E13" s="9" t="n">
        <v>171.9466666666667</v>
      </c>
      <c r="F13" s="11" t="n">
        <v>4.55</v>
      </c>
      <c r="G13" s="10" t="n">
        <v>9</v>
      </c>
    </row>
    <row r="14">
      <c r="A14" s="8" t="inlineStr">
        <is>
          <t>PharmaMinas Buritizeiro</t>
        </is>
      </c>
      <c r="B14" s="8" t="inlineStr">
        <is>
          <t>Buritizeiro</t>
        </is>
      </c>
      <c r="C14" s="9" t="n">
        <v>8237.5</v>
      </c>
      <c r="D14" s="10" t="n">
        <v>57</v>
      </c>
      <c r="E14" s="9" t="n">
        <v>144.5175438596491</v>
      </c>
      <c r="F14" s="11" t="n">
        <v>3.64</v>
      </c>
      <c r="G14" s="10" t="n">
        <v>10</v>
      </c>
    </row>
    <row r="15">
      <c r="A15" s="8" t="inlineStr">
        <is>
          <t>PharmaMinas Grao Mogol</t>
        </is>
      </c>
      <c r="B15" s="8" t="inlineStr">
        <is>
          <t>Grao Mogol</t>
        </is>
      </c>
      <c r="C15" s="9" t="n">
        <v>8062</v>
      </c>
      <c r="D15" s="10" t="n">
        <v>46</v>
      </c>
      <c r="E15" s="9" t="n">
        <v>175.2608695652174</v>
      </c>
      <c r="F15" s="11" t="n">
        <v>3.56</v>
      </c>
      <c r="G15" s="10" t="n">
        <v>11</v>
      </c>
    </row>
    <row r="16">
      <c r="A16" s="8" t="inlineStr">
        <is>
          <t>PharmaMinas Pirapora</t>
        </is>
      </c>
      <c r="B16" s="8" t="inlineStr">
        <is>
          <t>Pirapora</t>
        </is>
      </c>
      <c r="C16" s="9" t="n">
        <v>7624.8</v>
      </c>
      <c r="D16" s="10" t="n">
        <v>61</v>
      </c>
      <c r="E16" s="9" t="n">
        <v>124.9967213114754</v>
      </c>
      <c r="F16" s="11" t="n">
        <v>3.37</v>
      </c>
      <c r="G16" s="10" t="n">
        <v>12</v>
      </c>
    </row>
    <row r="17">
      <c r="A17" s="8" t="inlineStr">
        <is>
          <t>PharmaMinas Curvelo</t>
        </is>
      </c>
      <c r="B17" s="8" t="inlineStr">
        <is>
          <t>Curvelo</t>
        </is>
      </c>
      <c r="C17" s="9" t="n">
        <v>6637.8</v>
      </c>
      <c r="D17" s="10" t="n">
        <v>54</v>
      </c>
      <c r="E17" s="9" t="n">
        <v>122.9222222222222</v>
      </c>
      <c r="F17" s="11" t="n">
        <v>2.93</v>
      </c>
      <c r="G17" s="10" t="n">
        <v>13</v>
      </c>
    </row>
    <row r="18">
      <c r="A18" s="8" t="inlineStr">
        <is>
          <t>PharmaMinas Bocaiuva</t>
        </is>
      </c>
      <c r="B18" s="8" t="inlineStr">
        <is>
          <t>Bocaiuva</t>
        </is>
      </c>
      <c r="C18" s="9" t="n">
        <v>6061.7</v>
      </c>
      <c r="D18" s="10" t="n">
        <v>49</v>
      </c>
      <c r="E18" s="9" t="n">
        <v>123.7081632653061</v>
      </c>
      <c r="F18" s="11" t="n">
        <v>2.68</v>
      </c>
      <c r="G18" s="10" t="n">
        <v>14</v>
      </c>
    </row>
    <row r="19">
      <c r="A19" s="8" t="inlineStr">
        <is>
          <t>PharmaMinas Janauba</t>
        </is>
      </c>
      <c r="B19" s="8" t="inlineStr">
        <is>
          <t>Janauba</t>
        </is>
      </c>
      <c r="C19" s="9" t="n">
        <v>4260.7</v>
      </c>
      <c r="D19" s="10" t="n">
        <v>39</v>
      </c>
      <c r="E19" s="9" t="n">
        <v>109.2487179487179</v>
      </c>
      <c r="F19" s="11" t="n">
        <v>1.88</v>
      </c>
      <c r="G19" s="10" t="n">
        <v>15</v>
      </c>
    </row>
  </sheetData>
  <conditionalFormatting sqref="C5:C19">
    <cfRule type="colorScale" priority="1">
      <colorScale>
        <cfvo type="min"/>
        <cfvo type="max"/>
        <color rgb="00B2DFDB"/>
        <color rgb="0000695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19" customWidth="1" min="4" max="4"/>
    <col width="21" customWidth="1" min="5" max="5"/>
    <col width="21" customWidth="1" min="6" max="6"/>
    <col width="19" customWidth="1" min="7" max="7"/>
    <col width="19" customWidth="1" min="8" max="8"/>
    <col width="12" customWidth="1" min="9" max="9"/>
  </cols>
  <sheetData>
    <row r="1">
      <c r="A1" s="1" t="inlineStr">
        <is>
          <t>Ranking de Produtos</t>
        </is>
      </c>
    </row>
    <row r="2">
      <c r="A2" s="2" t="inlineStr">
        <is>
          <t>Top produtos por faturamento</t>
        </is>
      </c>
    </row>
    <row r="4">
      <c r="A4" s="7" t="inlineStr">
        <is>
          <t>produto_id</t>
        </is>
      </c>
      <c r="B4" s="7" t="inlineStr">
        <is>
          <t>produto_nome</t>
        </is>
      </c>
      <c r="C4" s="7" t="inlineStr">
        <is>
          <t>categoria_nome</t>
        </is>
      </c>
      <c r="D4" s="7" t="inlineStr">
        <is>
          <t>unidades_vendidas</t>
        </is>
      </c>
      <c r="E4" s="7" t="inlineStr">
        <is>
          <t>faturamento</t>
        </is>
      </c>
      <c r="F4" s="7" t="inlineStr">
        <is>
          <t>margem</t>
        </is>
      </c>
      <c r="G4" s="7" t="inlineStr">
        <is>
          <t>ticket_medio_item</t>
        </is>
      </c>
      <c r="H4" s="7" t="inlineStr">
        <is>
          <t>margem_percentual</t>
        </is>
      </c>
      <c r="I4" s="7" t="inlineStr">
        <is>
          <t>ranking</t>
        </is>
      </c>
    </row>
    <row r="5">
      <c r="A5" s="10" t="n">
        <v>69</v>
      </c>
      <c r="B5" s="8" t="inlineStr">
        <is>
          <t>Aparelho Pressao Digital Omron</t>
        </is>
      </c>
      <c r="C5" s="8" t="inlineStr">
        <is>
          <t>Primeiros Socorros</t>
        </is>
      </c>
      <c r="D5" s="10" t="n">
        <v>78</v>
      </c>
      <c r="E5" s="9" t="n">
        <v>32752.2</v>
      </c>
      <c r="F5" s="9" t="n">
        <v>17971.2</v>
      </c>
      <c r="G5" s="9" t="n">
        <v>419.9</v>
      </c>
      <c r="H5" s="11" t="n">
        <v>54.87</v>
      </c>
      <c r="I5" s="10" t="n">
        <v>1</v>
      </c>
    </row>
    <row r="6">
      <c r="A6" s="10" t="n">
        <v>61</v>
      </c>
      <c r="B6" s="8" t="inlineStr">
        <is>
          <t>Perfume Essencial Natura 100ml</t>
        </is>
      </c>
      <c r="C6" s="8" t="inlineStr">
        <is>
          <t>Perfumaria</t>
        </is>
      </c>
      <c r="D6" s="10" t="n">
        <v>78</v>
      </c>
      <c r="E6" s="9" t="n">
        <v>16372.2</v>
      </c>
      <c r="F6" s="9" t="n">
        <v>8899.800000000001</v>
      </c>
      <c r="G6" s="9" t="n">
        <v>209.9</v>
      </c>
      <c r="H6" s="11" t="n">
        <v>54.36</v>
      </c>
      <c r="I6" s="10" t="n">
        <v>2</v>
      </c>
    </row>
    <row r="7">
      <c r="A7" s="10" t="n">
        <v>42</v>
      </c>
      <c r="B7" s="8" t="inlineStr">
        <is>
          <t>Serum Vitamina C Adcos 30ml</t>
        </is>
      </c>
      <c r="C7" s="8" t="inlineStr">
        <is>
          <t>Dermocosmeticos</t>
        </is>
      </c>
      <c r="D7" s="10" t="n">
        <v>71</v>
      </c>
      <c r="E7" s="9" t="n">
        <v>13482.9</v>
      </c>
      <c r="F7" s="9" t="n">
        <v>7128.400000000001</v>
      </c>
      <c r="G7" s="9" t="n">
        <v>189.9</v>
      </c>
      <c r="H7" s="11" t="n">
        <v>52.87</v>
      </c>
      <c r="I7" s="10" t="n">
        <v>3</v>
      </c>
    </row>
    <row r="8">
      <c r="A8" s="10" t="n">
        <v>58</v>
      </c>
      <c r="B8" s="8" t="inlineStr">
        <is>
          <t>Perfume Malbec Boticario 100ml</t>
        </is>
      </c>
      <c r="C8" s="8" t="inlineStr">
        <is>
          <t>Perfumaria</t>
        </is>
      </c>
      <c r="D8" s="10" t="n">
        <v>53</v>
      </c>
      <c r="E8" s="9" t="n">
        <v>10329.7</v>
      </c>
      <c r="F8" s="9" t="n">
        <v>5586.200000000001</v>
      </c>
      <c r="G8" s="9" t="n">
        <v>194.9</v>
      </c>
      <c r="H8" s="11" t="n">
        <v>54.08</v>
      </c>
      <c r="I8" s="10" t="n">
        <v>4</v>
      </c>
    </row>
    <row r="9">
      <c r="A9" s="10" t="n">
        <v>41</v>
      </c>
      <c r="B9" s="8" t="inlineStr">
        <is>
          <t>Creme Antissinais Vichy 50ml</t>
        </is>
      </c>
      <c r="C9" s="8" t="inlineStr">
        <is>
          <t>Dermocosmeticos</t>
        </is>
      </c>
      <c r="D9" s="10" t="n">
        <v>66</v>
      </c>
      <c r="E9" s="9" t="n">
        <v>9827.4</v>
      </c>
      <c r="F9" s="9" t="n">
        <v>5352.6</v>
      </c>
      <c r="G9" s="9" t="n">
        <v>148.9</v>
      </c>
      <c r="H9" s="11" t="n">
        <v>54.47</v>
      </c>
      <c r="I9" s="10" t="n">
        <v>5</v>
      </c>
    </row>
    <row r="10">
      <c r="A10" s="10" t="n">
        <v>59</v>
      </c>
      <c r="B10" s="8" t="inlineStr">
        <is>
          <t>Perfume Egeo Boticario 90ml</t>
        </is>
      </c>
      <c r="C10" s="8" t="inlineStr">
        <is>
          <t>Perfumaria</t>
        </is>
      </c>
      <c r="D10" s="10" t="n">
        <v>56</v>
      </c>
      <c r="E10" s="9" t="n">
        <v>9660</v>
      </c>
      <c r="F10" s="9" t="n">
        <v>5241.599999999999</v>
      </c>
      <c r="G10" s="9" t="n">
        <v>172.5</v>
      </c>
      <c r="H10" s="11" t="n">
        <v>54.26</v>
      </c>
      <c r="I10" s="10" t="n">
        <v>6</v>
      </c>
    </row>
    <row r="11">
      <c r="A11" s="10" t="n">
        <v>60</v>
      </c>
      <c r="B11" s="8" t="inlineStr">
        <is>
          <t>Perfume Kaiak Natura 100ml</t>
        </is>
      </c>
      <c r="C11" s="8" t="inlineStr">
        <is>
          <t>Perfumaria</t>
        </is>
      </c>
      <c r="D11" s="10" t="n">
        <v>57</v>
      </c>
      <c r="E11" s="9" t="n">
        <v>8544.299999999999</v>
      </c>
      <c r="F11" s="9" t="n">
        <v>4639.8</v>
      </c>
      <c r="G11" s="9" t="n">
        <v>149.9</v>
      </c>
      <c r="H11" s="11" t="n">
        <v>54.3</v>
      </c>
      <c r="I11" s="10" t="n">
        <v>7</v>
      </c>
    </row>
    <row r="12">
      <c r="A12" s="10" t="n">
        <v>43</v>
      </c>
      <c r="B12" s="8" t="inlineStr">
        <is>
          <t>Whey Protein Growth 1kg</t>
        </is>
      </c>
      <c r="C12" s="8" t="inlineStr">
        <is>
          <t>Suplementos Alimentares</t>
        </is>
      </c>
      <c r="D12" s="10" t="n">
        <v>49</v>
      </c>
      <c r="E12" s="9" t="n">
        <v>8325.1</v>
      </c>
      <c r="F12" s="9" t="n">
        <v>4459</v>
      </c>
      <c r="G12" s="9" t="n">
        <v>169.9</v>
      </c>
      <c r="H12" s="11" t="n">
        <v>53.56</v>
      </c>
      <c r="I12" s="10" t="n">
        <v>8</v>
      </c>
    </row>
    <row r="13">
      <c r="A13" s="10" t="n">
        <v>44</v>
      </c>
      <c r="B13" s="8" t="inlineStr">
        <is>
          <t>Creatina Integralmedica 300g</t>
        </is>
      </c>
      <c r="C13" s="8" t="inlineStr">
        <is>
          <t>Suplementos Alimentares</t>
        </is>
      </c>
      <c r="D13" s="10" t="n">
        <v>58</v>
      </c>
      <c r="E13" s="9" t="n">
        <v>6896.200000000001</v>
      </c>
      <c r="F13" s="9" t="n">
        <v>3752.6</v>
      </c>
      <c r="G13" s="9" t="n">
        <v>118.9</v>
      </c>
      <c r="H13" s="11" t="n">
        <v>54.42</v>
      </c>
      <c r="I13" s="10" t="n">
        <v>9</v>
      </c>
    </row>
    <row r="14">
      <c r="A14" s="10" t="n">
        <v>38</v>
      </c>
      <c r="B14" s="8" t="inlineStr">
        <is>
          <t>Protetor Solar La Roche FPS 60 60ml</t>
        </is>
      </c>
      <c r="C14" s="8" t="inlineStr">
        <is>
          <t>Dermocosmeticos</t>
        </is>
      </c>
      <c r="D14" s="10" t="n">
        <v>65</v>
      </c>
      <c r="E14" s="9" t="n">
        <v>6428.5</v>
      </c>
      <c r="F14" s="9" t="n">
        <v>3490.5</v>
      </c>
      <c r="G14" s="9" t="n">
        <v>98.90000000000001</v>
      </c>
      <c r="H14" s="11" t="n">
        <v>54.3</v>
      </c>
      <c r="I14" s="10" t="n">
        <v>10</v>
      </c>
    </row>
    <row r="15">
      <c r="A15" s="10" t="n">
        <v>39</v>
      </c>
      <c r="B15" s="8" t="inlineStr">
        <is>
          <t>Sabonete Facial Cetaphil 250ml</t>
        </is>
      </c>
      <c r="C15" s="8" t="inlineStr">
        <is>
          <t>Dermocosmeticos</t>
        </is>
      </c>
      <c r="D15" s="10" t="n">
        <v>66</v>
      </c>
      <c r="E15" s="9" t="n">
        <v>4745.400000000001</v>
      </c>
      <c r="F15" s="9" t="n">
        <v>2600.400000000001</v>
      </c>
      <c r="G15" s="9" t="n">
        <v>71.90000000000001</v>
      </c>
      <c r="H15" s="11" t="n">
        <v>54.8</v>
      </c>
      <c r="I15" s="10" t="n">
        <v>11</v>
      </c>
    </row>
    <row r="16">
      <c r="A16" s="10" t="n">
        <v>51</v>
      </c>
      <c r="B16" s="8" t="inlineStr">
        <is>
          <t>Fralda Pampers Confort M 30un</t>
        </is>
      </c>
      <c r="C16" s="8" t="inlineStr">
        <is>
          <t>Infantil</t>
        </is>
      </c>
      <c r="D16" s="10" t="n">
        <v>65</v>
      </c>
      <c r="E16" s="9" t="n">
        <v>4673.5</v>
      </c>
      <c r="F16" s="9" t="n">
        <v>2561</v>
      </c>
      <c r="G16" s="9" t="n">
        <v>71.90000000000001</v>
      </c>
      <c r="H16" s="11" t="n">
        <v>54.8</v>
      </c>
      <c r="I16" s="10" t="n">
        <v>12</v>
      </c>
    </row>
    <row r="17">
      <c r="A17" s="10" t="n">
        <v>52</v>
      </c>
      <c r="B17" s="8" t="inlineStr">
        <is>
          <t>Fralda Huggies Supreme G 26un</t>
        </is>
      </c>
      <c r="C17" s="8" t="inlineStr">
        <is>
          <t>Infantil</t>
        </is>
      </c>
      <c r="D17" s="10" t="n">
        <v>58</v>
      </c>
      <c r="E17" s="9" t="n">
        <v>4460.200000000001</v>
      </c>
      <c r="F17" s="9" t="n">
        <v>2441.800000000001</v>
      </c>
      <c r="G17" s="9" t="n">
        <v>76.90000000000001</v>
      </c>
      <c r="H17" s="11" t="n">
        <v>54.75</v>
      </c>
      <c r="I17" s="10" t="n">
        <v>13</v>
      </c>
    </row>
    <row r="18">
      <c r="A18" s="10" t="n">
        <v>14</v>
      </c>
      <c r="B18" s="8" t="inlineStr">
        <is>
          <t>Losec 20mg 28 capsulas</t>
        </is>
      </c>
      <c r="C18" s="8" t="inlineStr">
        <is>
          <t>Medicamentos de Referencia</t>
        </is>
      </c>
      <c r="D18" s="10" t="n">
        <v>62</v>
      </c>
      <c r="E18" s="9" t="n">
        <v>3899.8</v>
      </c>
      <c r="F18" s="9" t="n">
        <v>2132.8</v>
      </c>
      <c r="G18" s="9" t="n">
        <v>62.9</v>
      </c>
      <c r="H18" s="11" t="n">
        <v>54.69</v>
      </c>
      <c r="I18" s="10" t="n">
        <v>14</v>
      </c>
    </row>
    <row r="19">
      <c r="A19" s="10" t="n">
        <v>40</v>
      </c>
      <c r="B19" s="8" t="inlineStr">
        <is>
          <t>Hidratante Cerave 236ml</t>
        </is>
      </c>
      <c r="C19" s="8" t="inlineStr">
        <is>
          <t>Dermocosmeticos</t>
        </is>
      </c>
      <c r="D19" s="10" t="n">
        <v>44</v>
      </c>
      <c r="E19" s="9" t="n">
        <v>3718</v>
      </c>
      <c r="F19" s="9" t="n">
        <v>2006.4</v>
      </c>
      <c r="G19" s="9" t="n">
        <v>84.5</v>
      </c>
      <c r="H19" s="11" t="n">
        <v>53.96</v>
      </c>
      <c r="I19" s="10" t="n">
        <v>15</v>
      </c>
    </row>
    <row r="20">
      <c r="A20" s="10" t="n">
        <v>10</v>
      </c>
      <c r="B20" s="8" t="inlineStr">
        <is>
          <t>Sertralina 50mg 30 comprimidos</t>
        </is>
      </c>
      <c r="C20" s="8" t="inlineStr">
        <is>
          <t>Medicamentos Genericos</t>
        </is>
      </c>
      <c r="D20" s="10" t="n">
        <v>63</v>
      </c>
      <c r="E20" s="9" t="n">
        <v>3143.7</v>
      </c>
      <c r="F20" s="9" t="n">
        <v>1726.2</v>
      </c>
      <c r="G20" s="9" t="n">
        <v>49.9</v>
      </c>
      <c r="H20" s="11" t="n">
        <v>54.91</v>
      </c>
      <c r="I20" s="10" t="n">
        <v>16</v>
      </c>
    </row>
    <row r="21">
      <c r="A21" s="10" t="n">
        <v>16</v>
      </c>
      <c r="B21" s="8" t="inlineStr">
        <is>
          <t>Voltaren Emulgel 60g</t>
        </is>
      </c>
      <c r="C21" s="8" t="inlineStr">
        <is>
          <t>Medicamentos de Referencia</t>
        </is>
      </c>
      <c r="D21" s="10" t="n">
        <v>66</v>
      </c>
      <c r="E21" s="9" t="n">
        <v>3135</v>
      </c>
      <c r="F21" s="9" t="n">
        <v>1696.2</v>
      </c>
      <c r="G21" s="9" t="n">
        <v>47.5</v>
      </c>
      <c r="H21" s="11" t="n">
        <v>54.11</v>
      </c>
      <c r="I21" s="10" t="n">
        <v>17</v>
      </c>
    </row>
    <row r="22">
      <c r="A22" s="10" t="n">
        <v>47</v>
      </c>
      <c r="B22" s="8" t="inlineStr">
        <is>
          <t>Omega 3 1000mg Nature Made 60 caps</t>
        </is>
      </c>
      <c r="C22" s="8" t="inlineStr">
        <is>
          <t>Suplementos Alimentares</t>
        </is>
      </c>
      <c r="D22" s="10" t="n">
        <v>46</v>
      </c>
      <c r="E22" s="9" t="n">
        <v>2893.4</v>
      </c>
      <c r="F22" s="9" t="n">
        <v>1582.4</v>
      </c>
      <c r="G22" s="9" t="n">
        <v>62.9</v>
      </c>
      <c r="H22" s="11" t="n">
        <v>54.69</v>
      </c>
      <c r="I22" s="10" t="n">
        <v>18</v>
      </c>
    </row>
    <row r="23">
      <c r="A23" s="10" t="n">
        <v>13</v>
      </c>
      <c r="B23" s="8" t="inlineStr">
        <is>
          <t>Advil 400mg 20 comprimidos</t>
        </is>
      </c>
      <c r="C23" s="8" t="inlineStr">
        <is>
          <t>Medicamentos de Referencia</t>
        </is>
      </c>
      <c r="D23" s="10" t="n">
        <v>71</v>
      </c>
      <c r="E23" s="9" t="n">
        <v>2825.8</v>
      </c>
      <c r="F23" s="9" t="n">
        <v>1533.6</v>
      </c>
      <c r="G23" s="9" t="n">
        <v>39.8</v>
      </c>
      <c r="H23" s="11" t="n">
        <v>54.27</v>
      </c>
      <c r="I23" s="10" t="n">
        <v>19</v>
      </c>
    </row>
    <row r="24">
      <c r="A24" s="10" t="n">
        <v>68</v>
      </c>
      <c r="B24" s="8" t="inlineStr">
        <is>
          <t>Termometro Digital Geratherm</t>
        </is>
      </c>
      <c r="C24" s="8" t="inlineStr">
        <is>
          <t>Primeiros Socorros</t>
        </is>
      </c>
      <c r="D24" s="10" t="n">
        <v>67</v>
      </c>
      <c r="E24" s="9" t="n">
        <v>2807.3</v>
      </c>
      <c r="F24" s="9" t="n">
        <v>1541</v>
      </c>
      <c r="G24" s="9" t="n">
        <v>41.9</v>
      </c>
      <c r="H24" s="11" t="n">
        <v>54.89</v>
      </c>
      <c r="I24" s="10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7" customWidth="1" min="4" max="4"/>
    <col width="12" customWidth="1" min="5" max="5"/>
    <col width="21" customWidth="1" min="6" max="6"/>
    <col width="21" customWidth="1" min="7" max="7"/>
    <col width="17" customWidth="1" min="8" max="8"/>
    <col width="15" customWidth="1" min="9" max="9"/>
    <col width="19" customWidth="1" min="10" max="10"/>
    <col width="12" customWidth="1" min="11" max="11"/>
    <col width="13" customWidth="1" min="12" max="12"/>
  </cols>
  <sheetData>
    <row r="1">
      <c r="A1" s="1" t="inlineStr">
        <is>
          <t>Top Clientes por LTV</t>
        </is>
      </c>
    </row>
    <row r="2">
      <c r="A2" s="2" t="inlineStr">
        <is>
          <t>Lifetime Value ordenado do maior para o menor</t>
        </is>
      </c>
    </row>
    <row r="4">
      <c r="A4" s="7" t="inlineStr">
        <is>
          <t>cliente_id</t>
        </is>
      </c>
      <c r="B4" s="7" t="inlineStr">
        <is>
          <t>cliente_nome</t>
        </is>
      </c>
      <c r="C4" s="7" t="inlineStr">
        <is>
          <t>cliente_cidade</t>
        </is>
      </c>
      <c r="D4" s="7" t="inlineStr">
        <is>
          <t>faixa_etaria</t>
        </is>
      </c>
      <c r="E4" s="7" t="inlineStr">
        <is>
          <t>n_compras</t>
        </is>
      </c>
      <c r="F4" s="7" t="inlineStr">
        <is>
          <t>ltv</t>
        </is>
      </c>
      <c r="G4" s="7" t="inlineStr">
        <is>
          <t>ticket_medio</t>
        </is>
      </c>
      <c r="H4" s="7" t="inlineStr">
        <is>
          <t>primeira_compra</t>
        </is>
      </c>
      <c r="I4" s="7" t="inlineStr">
        <is>
          <t>ultima_compra</t>
        </is>
      </c>
      <c r="J4" s="7" t="inlineStr">
        <is>
          <t>dias_desde_ultima</t>
        </is>
      </c>
      <c r="K4" s="7" t="inlineStr">
        <is>
          <t>status</t>
        </is>
      </c>
      <c r="L4" s="7" t="inlineStr">
        <is>
          <t>quartil_ltv</t>
        </is>
      </c>
    </row>
    <row r="5">
      <c r="A5" s="10" t="n">
        <v>31</v>
      </c>
      <c r="B5" s="8" t="inlineStr">
        <is>
          <t>Kaique Barbosa Martins</t>
        </is>
      </c>
      <c r="C5" s="8" t="inlineStr">
        <is>
          <t>Buritizeiro</t>
        </is>
      </c>
      <c r="D5" s="8" t="inlineStr">
        <is>
          <t>5. 60+ anos</t>
        </is>
      </c>
      <c r="E5" s="10" t="n">
        <v>8</v>
      </c>
      <c r="F5" s="9" t="n">
        <v>2871.4</v>
      </c>
      <c r="G5" s="9" t="n">
        <v>358.925</v>
      </c>
      <c r="H5" s="8" t="inlineStr">
        <is>
          <t>2025-04-16</t>
        </is>
      </c>
      <c r="I5" s="8" t="inlineStr">
        <is>
          <t>2026-06-16</t>
        </is>
      </c>
      <c r="J5" s="10" t="n">
        <v>13</v>
      </c>
      <c r="K5" s="8" t="inlineStr">
        <is>
          <t>Ativo</t>
        </is>
      </c>
      <c r="L5" s="8" t="inlineStr">
        <is>
          <t>Q4 (alto)</t>
        </is>
      </c>
    </row>
    <row r="6">
      <c r="A6" s="10" t="n">
        <v>20</v>
      </c>
      <c r="B6" s="8" t="inlineStr">
        <is>
          <t>Gabriela Rodrigues Oliveira</t>
        </is>
      </c>
      <c r="C6" s="8" t="inlineStr">
        <is>
          <t>Montes Claros</t>
        </is>
      </c>
      <c r="D6" s="8" t="inlineStr">
        <is>
          <t>2. 25 a 34</t>
        </is>
      </c>
      <c r="E6" s="10" t="n">
        <v>6</v>
      </c>
      <c r="F6" s="9" t="n">
        <v>2658.9</v>
      </c>
      <c r="G6" s="9" t="n">
        <v>443.15</v>
      </c>
      <c r="H6" s="8" t="inlineStr">
        <is>
          <t>2024-01-12</t>
        </is>
      </c>
      <c r="I6" s="8" t="inlineStr">
        <is>
          <t>2026-06-04</t>
        </is>
      </c>
      <c r="J6" s="10" t="n">
        <v>25</v>
      </c>
      <c r="K6" s="8" t="inlineStr">
        <is>
          <t>Ativo</t>
        </is>
      </c>
      <c r="L6" s="8" t="inlineStr">
        <is>
          <t>Q4 (alto)</t>
        </is>
      </c>
    </row>
    <row r="7">
      <c r="A7" s="10" t="n">
        <v>81</v>
      </c>
      <c r="B7" s="8" t="inlineStr">
        <is>
          <t>Debora Cardoso Dias</t>
        </is>
      </c>
      <c r="C7" s="8" t="inlineStr">
        <is>
          <t>Pirapora</t>
        </is>
      </c>
      <c r="D7" s="8" t="inlineStr">
        <is>
          <t>4. 45 a 59</t>
        </is>
      </c>
      <c r="E7" s="10" t="n">
        <v>7</v>
      </c>
      <c r="F7" s="9" t="n">
        <v>2390.5</v>
      </c>
      <c r="G7" s="9" t="n">
        <v>341.5</v>
      </c>
      <c r="H7" s="8" t="inlineStr">
        <is>
          <t>2025-06-21</t>
        </is>
      </c>
      <c r="I7" s="8" t="inlineStr">
        <is>
          <t>2026-06-25</t>
        </is>
      </c>
      <c r="J7" s="10" t="n">
        <v>5</v>
      </c>
      <c r="K7" s="8" t="inlineStr">
        <is>
          <t>Ativo</t>
        </is>
      </c>
      <c r="L7" s="8" t="inlineStr">
        <is>
          <t>Q4 (alto)</t>
        </is>
      </c>
    </row>
    <row r="8">
      <c r="A8" s="10" t="n">
        <v>45</v>
      </c>
      <c r="B8" s="8" t="inlineStr">
        <is>
          <t>Tatiana Rodrigues Ferreira</t>
        </is>
      </c>
      <c r="C8" s="8" t="inlineStr">
        <is>
          <t>Diamantina</t>
        </is>
      </c>
      <c r="D8" s="8" t="inlineStr">
        <is>
          <t>1. Ate 24 anos</t>
        </is>
      </c>
      <c r="E8" s="10" t="n">
        <v>8</v>
      </c>
      <c r="F8" s="9" t="n">
        <v>2370.8</v>
      </c>
      <c r="G8" s="9" t="n">
        <v>296.35</v>
      </c>
      <c r="H8" s="8" t="inlineStr">
        <is>
          <t>2024-03-24</t>
        </is>
      </c>
      <c r="I8" s="8" t="inlineStr">
        <is>
          <t>2026-06-20</t>
        </is>
      </c>
      <c r="J8" s="10" t="n">
        <v>9</v>
      </c>
      <c r="K8" s="8" t="inlineStr">
        <is>
          <t>Ativo</t>
        </is>
      </c>
      <c r="L8" s="8" t="inlineStr">
        <is>
          <t>Q4 (alto)</t>
        </is>
      </c>
    </row>
    <row r="9">
      <c r="A9" s="10" t="n">
        <v>200</v>
      </c>
      <c r="B9" s="8" t="inlineStr">
        <is>
          <t>Heloisa Machado Machado</t>
        </is>
      </c>
      <c r="C9" s="8" t="inlineStr">
        <is>
          <t>Salinas</t>
        </is>
      </c>
      <c r="D9" s="8" t="inlineStr">
        <is>
          <t>5. 60+ anos</t>
        </is>
      </c>
      <c r="E9" s="10" t="n">
        <v>6</v>
      </c>
      <c r="F9" s="9" t="n">
        <v>2365.5</v>
      </c>
      <c r="G9" s="9" t="n">
        <v>394.25</v>
      </c>
      <c r="H9" s="8" t="inlineStr">
        <is>
          <t>2025-09-13</t>
        </is>
      </c>
      <c r="I9" s="8" t="inlineStr">
        <is>
          <t>2026-05-26</t>
        </is>
      </c>
      <c r="J9" s="10" t="n">
        <v>35</v>
      </c>
      <c r="K9" s="8" t="inlineStr">
        <is>
          <t>Ativo</t>
        </is>
      </c>
      <c r="L9" s="8" t="inlineStr">
        <is>
          <t>Q4 (alto)</t>
        </is>
      </c>
    </row>
    <row r="10">
      <c r="A10" s="10" t="n">
        <v>183</v>
      </c>
      <c r="B10" s="8" t="inlineStr">
        <is>
          <t>Patricia Lopes Silva</t>
        </is>
      </c>
      <c r="C10" s="8" t="inlineStr">
        <is>
          <t>Belo Horizonte</t>
        </is>
      </c>
      <c r="D10" s="8" t="inlineStr">
        <is>
          <t>4. 45 a 59</t>
        </is>
      </c>
      <c r="E10" s="10" t="n">
        <v>7</v>
      </c>
      <c r="F10" s="9" t="n">
        <v>2303.2</v>
      </c>
      <c r="G10" s="9" t="n">
        <v>329.0285714285714</v>
      </c>
      <c r="H10" s="8" t="inlineStr">
        <is>
          <t>2024-09-05</t>
        </is>
      </c>
      <c r="I10" s="8" t="inlineStr">
        <is>
          <t>2026-03-25</t>
        </is>
      </c>
      <c r="J10" s="10" t="n">
        <v>96</v>
      </c>
      <c r="K10" s="8" t="inlineStr">
        <is>
          <t>Em risco</t>
        </is>
      </c>
      <c r="L10" s="8" t="inlineStr">
        <is>
          <t>Q4 (alto)</t>
        </is>
      </c>
    </row>
    <row r="11">
      <c r="A11" s="10" t="n">
        <v>91</v>
      </c>
      <c r="B11" s="8" t="inlineStr">
        <is>
          <t>Sabrina Souza Rodrigues</t>
        </is>
      </c>
      <c r="C11" s="8" t="inlineStr">
        <is>
          <t>Bocaiuva</t>
        </is>
      </c>
      <c r="D11" s="8" t="inlineStr">
        <is>
          <t>4. 45 a 59</t>
        </is>
      </c>
      <c r="E11" s="10" t="n">
        <v>8</v>
      </c>
      <c r="F11" s="9" t="n">
        <v>2268.9</v>
      </c>
      <c r="G11" s="9" t="n">
        <v>283.6125</v>
      </c>
      <c r="H11" s="8" t="inlineStr">
        <is>
          <t>2025-12-01</t>
        </is>
      </c>
      <c r="I11" s="8" t="inlineStr">
        <is>
          <t>2026-06-22</t>
        </is>
      </c>
      <c r="J11" s="10" t="n">
        <v>7</v>
      </c>
      <c r="K11" s="8" t="inlineStr">
        <is>
          <t>Ativo</t>
        </is>
      </c>
      <c r="L11" s="8" t="inlineStr">
        <is>
          <t>Q4 (alto)</t>
        </is>
      </c>
    </row>
    <row r="12">
      <c r="A12" s="10" t="n">
        <v>117</v>
      </c>
      <c r="B12" s="8" t="inlineStr">
        <is>
          <t>Carla Gomes Silva</t>
        </is>
      </c>
      <c r="C12" s="8" t="inlineStr">
        <is>
          <t>Espinosa</t>
        </is>
      </c>
      <c r="D12" s="8" t="inlineStr">
        <is>
          <t>2. 25 a 34</t>
        </is>
      </c>
      <c r="E12" s="10" t="n">
        <v>13</v>
      </c>
      <c r="F12" s="9" t="n">
        <v>2267.7</v>
      </c>
      <c r="G12" s="9" t="n">
        <v>174.4384615384615</v>
      </c>
      <c r="H12" s="8" t="inlineStr">
        <is>
          <t>2024-02-10</t>
        </is>
      </c>
      <c r="I12" s="8" t="inlineStr">
        <is>
          <t>2026-06-27</t>
        </is>
      </c>
      <c r="J12" s="10" t="n">
        <v>2</v>
      </c>
      <c r="K12" s="8" t="inlineStr">
        <is>
          <t>Ativo</t>
        </is>
      </c>
      <c r="L12" s="8" t="inlineStr">
        <is>
          <t>Q4 (alto)</t>
        </is>
      </c>
    </row>
    <row r="13">
      <c r="A13" s="10" t="n">
        <v>94</v>
      </c>
      <c r="B13" s="8" t="inlineStr">
        <is>
          <t>Camila Martins Araujo</t>
        </is>
      </c>
      <c r="C13" s="8" t="inlineStr">
        <is>
          <t>Januaria</t>
        </is>
      </c>
      <c r="D13" s="8" t="inlineStr">
        <is>
          <t>4. 45 a 59</t>
        </is>
      </c>
      <c r="E13" s="10" t="n">
        <v>11</v>
      </c>
      <c r="F13" s="9" t="n">
        <v>2152</v>
      </c>
      <c r="G13" s="9" t="n">
        <v>195.6363636363636</v>
      </c>
      <c r="H13" s="8" t="inlineStr">
        <is>
          <t>2024-06-16</t>
        </is>
      </c>
      <c r="I13" s="8" t="inlineStr">
        <is>
          <t>2026-01-07</t>
        </is>
      </c>
      <c r="J13" s="10" t="n">
        <v>174</v>
      </c>
      <c r="K13" s="8" t="inlineStr">
        <is>
          <t>Em risco</t>
        </is>
      </c>
      <c r="L13" s="8" t="inlineStr">
        <is>
          <t>Q4 (alto)</t>
        </is>
      </c>
    </row>
    <row r="14">
      <c r="A14" s="10" t="n">
        <v>143</v>
      </c>
      <c r="B14" s="8" t="inlineStr">
        <is>
          <t>Heloisa Freitas Nunes</t>
        </is>
      </c>
      <c r="C14" s="8" t="inlineStr">
        <is>
          <t>Pirapora</t>
        </is>
      </c>
      <c r="D14" s="8" t="inlineStr">
        <is>
          <t>3. 35 a 44</t>
        </is>
      </c>
      <c r="E14" s="10" t="n">
        <v>9</v>
      </c>
      <c r="F14" s="9" t="n">
        <v>2149.3</v>
      </c>
      <c r="G14" s="9" t="n">
        <v>238.8111111111111</v>
      </c>
      <c r="H14" s="8" t="inlineStr">
        <is>
          <t>2025-06-30</t>
        </is>
      </c>
      <c r="I14" s="8" t="inlineStr">
        <is>
          <t>2026-06-18</t>
        </is>
      </c>
      <c r="J14" s="10" t="n">
        <v>11</v>
      </c>
      <c r="K14" s="8" t="inlineStr">
        <is>
          <t>Ativo</t>
        </is>
      </c>
      <c r="L14" s="8" t="inlineStr">
        <is>
          <t>Q4 (alto)</t>
        </is>
      </c>
    </row>
    <row r="15">
      <c r="A15" s="10" t="n">
        <v>42</v>
      </c>
      <c r="B15" s="8" t="inlineStr">
        <is>
          <t>Camila Machado Carvalho</t>
        </is>
      </c>
      <c r="C15" s="8" t="inlineStr">
        <is>
          <t>Belo Horizonte</t>
        </is>
      </c>
      <c r="D15" s="8" t="inlineStr">
        <is>
          <t>2. 25 a 34</t>
        </is>
      </c>
      <c r="E15" s="10" t="n">
        <v>6</v>
      </c>
      <c r="F15" s="9" t="n">
        <v>2123.7</v>
      </c>
      <c r="G15" s="9" t="n">
        <v>353.95</v>
      </c>
      <c r="H15" s="8" t="inlineStr">
        <is>
          <t>2024-04-01</t>
        </is>
      </c>
      <c r="I15" s="8" t="inlineStr">
        <is>
          <t>2026-06-18</t>
        </is>
      </c>
      <c r="J15" s="10" t="n">
        <v>11</v>
      </c>
      <c r="K15" s="8" t="inlineStr">
        <is>
          <t>Ativo</t>
        </is>
      </c>
      <c r="L15" s="8" t="inlineStr">
        <is>
          <t>Q4 (alto)</t>
        </is>
      </c>
    </row>
    <row r="16">
      <c r="A16" s="10" t="n">
        <v>197</v>
      </c>
      <c r="B16" s="8" t="inlineStr">
        <is>
          <t>Tatiana Alves Freitas</t>
        </is>
      </c>
      <c r="C16" s="8" t="inlineStr">
        <is>
          <t>Januaria</t>
        </is>
      </c>
      <c r="D16" s="8" t="inlineStr">
        <is>
          <t>5. 60+ anos</t>
        </is>
      </c>
      <c r="E16" s="10" t="n">
        <v>10</v>
      </c>
      <c r="F16" s="9" t="n">
        <v>2104.4</v>
      </c>
      <c r="G16" s="9" t="n">
        <v>210.44</v>
      </c>
      <c r="H16" s="8" t="inlineStr">
        <is>
          <t>2024-01-13</t>
        </is>
      </c>
      <c r="I16" s="8" t="inlineStr">
        <is>
          <t>2026-06-02</t>
        </is>
      </c>
      <c r="J16" s="10" t="n">
        <v>27</v>
      </c>
      <c r="K16" s="8" t="inlineStr">
        <is>
          <t>Ativo</t>
        </is>
      </c>
      <c r="L16" s="8" t="inlineStr">
        <is>
          <t>Q4 (alto)</t>
        </is>
      </c>
    </row>
    <row r="17">
      <c r="A17" s="10" t="n">
        <v>133</v>
      </c>
      <c r="B17" s="8" t="inlineStr">
        <is>
          <t>Yasmin Nascimento Barbosa</t>
        </is>
      </c>
      <c r="C17" s="8" t="inlineStr">
        <is>
          <t>Janauba</t>
        </is>
      </c>
      <c r="D17" s="8" t="inlineStr">
        <is>
          <t>4. 45 a 59</t>
        </is>
      </c>
      <c r="E17" s="10" t="n">
        <v>5</v>
      </c>
      <c r="F17" s="9" t="n">
        <v>2095.5</v>
      </c>
      <c r="G17" s="9" t="n">
        <v>419.1</v>
      </c>
      <c r="H17" s="8" t="inlineStr">
        <is>
          <t>2024-02-16</t>
        </is>
      </c>
      <c r="I17" s="8" t="inlineStr">
        <is>
          <t>2026-05-12</t>
        </is>
      </c>
      <c r="J17" s="10" t="n">
        <v>49</v>
      </c>
      <c r="K17" s="8" t="inlineStr">
        <is>
          <t>Ativo</t>
        </is>
      </c>
      <c r="L17" s="8" t="inlineStr">
        <is>
          <t>Q4 (alto)</t>
        </is>
      </c>
    </row>
    <row r="18">
      <c r="A18" s="10" t="n">
        <v>3</v>
      </c>
      <c r="B18" s="8" t="inlineStr">
        <is>
          <t>Pedro Nascimento Lopes</t>
        </is>
      </c>
      <c r="C18" s="8" t="inlineStr">
        <is>
          <t>Janauba</t>
        </is>
      </c>
      <c r="D18" s="8" t="inlineStr">
        <is>
          <t>4. 45 a 59</t>
        </is>
      </c>
      <c r="E18" s="10" t="n">
        <v>6</v>
      </c>
      <c r="F18" s="9" t="n">
        <v>2060.3</v>
      </c>
      <c r="G18" s="9" t="n">
        <v>343.3833333333334</v>
      </c>
      <c r="H18" s="8" t="inlineStr">
        <is>
          <t>2025-02-27</t>
        </is>
      </c>
      <c r="I18" s="8" t="inlineStr">
        <is>
          <t>2026-06-03</t>
        </is>
      </c>
      <c r="J18" s="10" t="n">
        <v>26</v>
      </c>
      <c r="K18" s="8" t="inlineStr">
        <is>
          <t>Ativo</t>
        </is>
      </c>
      <c r="L18" s="8" t="inlineStr">
        <is>
          <t>Q4 (alto)</t>
        </is>
      </c>
    </row>
    <row r="19">
      <c r="A19" s="10" t="n">
        <v>60</v>
      </c>
      <c r="B19" s="8" t="inlineStr">
        <is>
          <t>Karina Carvalho Carvalho</t>
        </is>
      </c>
      <c r="C19" s="8" t="inlineStr">
        <is>
          <t>Januaria</t>
        </is>
      </c>
      <c r="D19" s="8" t="inlineStr">
        <is>
          <t>2. 25 a 34</t>
        </is>
      </c>
      <c r="E19" s="10" t="n">
        <v>8</v>
      </c>
      <c r="F19" s="9" t="n">
        <v>1838.7</v>
      </c>
      <c r="G19" s="9" t="n">
        <v>229.8375</v>
      </c>
      <c r="H19" s="8" t="inlineStr">
        <is>
          <t>2025-06-16</t>
        </is>
      </c>
      <c r="I19" s="8" t="inlineStr">
        <is>
          <t>2026-06-26</t>
        </is>
      </c>
      <c r="J19" s="10" t="n">
        <v>3</v>
      </c>
      <c r="K19" s="8" t="inlineStr">
        <is>
          <t>Ativo</t>
        </is>
      </c>
      <c r="L19" s="8" t="inlineStr">
        <is>
          <t>Q4 (alto)</t>
        </is>
      </c>
    </row>
    <row r="20">
      <c r="A20" s="10" t="n">
        <v>84</v>
      </c>
      <c r="B20" s="8" t="inlineStr">
        <is>
          <t>Rodrigo Cavalcanti Gomes</t>
        </is>
      </c>
      <c r="C20" s="8" t="inlineStr">
        <is>
          <t>Curvelo</t>
        </is>
      </c>
      <c r="D20" s="8" t="inlineStr">
        <is>
          <t>3. 35 a 44</t>
        </is>
      </c>
      <c r="E20" s="10" t="n">
        <v>6</v>
      </c>
      <c r="F20" s="9" t="n">
        <v>1781.2</v>
      </c>
      <c r="G20" s="9" t="n">
        <v>296.8666666666667</v>
      </c>
      <c r="H20" s="8" t="inlineStr">
        <is>
          <t>2025-02-07</t>
        </is>
      </c>
      <c r="I20" s="8" t="inlineStr">
        <is>
          <t>2025-12-19</t>
        </is>
      </c>
      <c r="J20" s="10" t="n">
        <v>192</v>
      </c>
      <c r="K20" s="8" t="inlineStr">
        <is>
          <t>Inativo</t>
        </is>
      </c>
      <c r="L20" s="8" t="inlineStr">
        <is>
          <t>Q4 (alto)</t>
        </is>
      </c>
    </row>
    <row r="21">
      <c r="A21" s="10" t="n">
        <v>132</v>
      </c>
      <c r="B21" s="8" t="inlineStr">
        <is>
          <t>Sabrina Freitas Souza</t>
        </is>
      </c>
      <c r="C21" s="8" t="inlineStr">
        <is>
          <t>Pirapora</t>
        </is>
      </c>
      <c r="D21" s="8" t="inlineStr">
        <is>
          <t>4. 45 a 59</t>
        </is>
      </c>
      <c r="E21" s="10" t="n">
        <v>9</v>
      </c>
      <c r="F21" s="9" t="n">
        <v>1767.8</v>
      </c>
      <c r="G21" s="9" t="n">
        <v>196.4222222222222</v>
      </c>
      <c r="H21" s="8" t="inlineStr">
        <is>
          <t>2024-07-16</t>
        </is>
      </c>
      <c r="I21" s="8" t="inlineStr">
        <is>
          <t>2026-06-22</t>
        </is>
      </c>
      <c r="J21" s="10" t="n">
        <v>7</v>
      </c>
      <c r="K21" s="8" t="inlineStr">
        <is>
          <t>Ativo</t>
        </is>
      </c>
      <c r="L21" s="8" t="inlineStr">
        <is>
          <t>Q4 (alto)</t>
        </is>
      </c>
    </row>
    <row r="22">
      <c r="A22" s="10" t="n">
        <v>189</v>
      </c>
      <c r="B22" s="8" t="inlineStr">
        <is>
          <t>Natalia Cardoso Santos</t>
        </is>
      </c>
      <c r="C22" s="8" t="inlineStr">
        <is>
          <t>Curvelo</t>
        </is>
      </c>
      <c r="D22" s="8" t="inlineStr">
        <is>
          <t>2. 25 a 34</t>
        </is>
      </c>
      <c r="E22" s="10" t="n">
        <v>12</v>
      </c>
      <c r="F22" s="9" t="n">
        <v>1737.9</v>
      </c>
      <c r="G22" s="9" t="n">
        <v>144.825</v>
      </c>
      <c r="H22" s="8" t="inlineStr">
        <is>
          <t>2025-05-18</t>
        </is>
      </c>
      <c r="I22" s="8" t="inlineStr">
        <is>
          <t>2026-06-10</t>
        </is>
      </c>
      <c r="J22" s="10" t="n">
        <v>19</v>
      </c>
      <c r="K22" s="8" t="inlineStr">
        <is>
          <t>Ativo</t>
        </is>
      </c>
      <c r="L22" s="8" t="inlineStr">
        <is>
          <t>Q4 (alto)</t>
        </is>
      </c>
    </row>
    <row r="23">
      <c r="A23" s="10" t="n">
        <v>192</v>
      </c>
      <c r="B23" s="8" t="inlineStr">
        <is>
          <t>Thiago Mendes Cardoso</t>
        </is>
      </c>
      <c r="C23" s="8" t="inlineStr">
        <is>
          <t>Corinto</t>
        </is>
      </c>
      <c r="D23" s="8" t="inlineStr">
        <is>
          <t>5. 60+ anos</t>
        </is>
      </c>
      <c r="E23" s="10" t="n">
        <v>5</v>
      </c>
      <c r="F23" s="9" t="n">
        <v>1719.7</v>
      </c>
      <c r="G23" s="9" t="n">
        <v>343.94</v>
      </c>
      <c r="H23" s="8" t="inlineStr">
        <is>
          <t>2024-06-22</t>
        </is>
      </c>
      <c r="I23" s="8" t="inlineStr">
        <is>
          <t>2026-03-22</t>
        </is>
      </c>
      <c r="J23" s="10" t="n">
        <v>99</v>
      </c>
      <c r="K23" s="8" t="inlineStr">
        <is>
          <t>Em risco</t>
        </is>
      </c>
      <c r="L23" s="8" t="inlineStr">
        <is>
          <t>Q4 (alto)</t>
        </is>
      </c>
    </row>
    <row r="24">
      <c r="A24" s="10" t="n">
        <v>169</v>
      </c>
      <c r="B24" s="8" t="inlineStr">
        <is>
          <t>Cesar Nascimento Ribeiro</t>
        </is>
      </c>
      <c r="C24" s="8" t="inlineStr">
        <is>
          <t>Corinto</t>
        </is>
      </c>
      <c r="D24" s="8" t="inlineStr">
        <is>
          <t>5. 60+ anos</t>
        </is>
      </c>
      <c r="E24" s="10" t="n">
        <v>7</v>
      </c>
      <c r="F24" s="9" t="n">
        <v>1693.7</v>
      </c>
      <c r="G24" s="9" t="n">
        <v>241.9571428571429</v>
      </c>
      <c r="H24" s="8" t="inlineStr">
        <is>
          <t>2024-07-04</t>
        </is>
      </c>
      <c r="I24" s="8" t="inlineStr">
        <is>
          <t>2026-05-30</t>
        </is>
      </c>
      <c r="J24" s="10" t="n">
        <v>30</v>
      </c>
      <c r="K24" s="8" t="inlineStr">
        <is>
          <t>Ativo</t>
        </is>
      </c>
      <c r="L24" s="8" t="inlineStr">
        <is>
          <t>Q4 (alto)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Segmentacao por Faixa Etaria</t>
        </is>
      </c>
    </row>
    <row r="2">
      <c r="A2" s="2" t="inlineStr">
        <is>
          <t>Distribuicao do faturamento por idade dos clientes</t>
        </is>
      </c>
    </row>
    <row r="4">
      <c r="A4" s="7" t="inlineStr">
        <is>
          <t>faixa_etaria</t>
        </is>
      </c>
      <c r="B4" s="7" t="inlineStr">
        <is>
          <t>faturamento</t>
        </is>
      </c>
      <c r="C4" s="7" t="inlineStr">
        <is>
          <t>n_clientes</t>
        </is>
      </c>
      <c r="D4" s="7" t="inlineStr">
        <is>
          <t>n_vendas</t>
        </is>
      </c>
      <c r="E4" s="7" t="inlineStr">
        <is>
          <t>ticket_medio</t>
        </is>
      </c>
      <c r="F4" s="7" t="inlineStr">
        <is>
          <t>percentual</t>
        </is>
      </c>
    </row>
    <row r="5">
      <c r="A5" s="8" t="inlineStr">
        <is>
          <t>1. Ate 24 anos</t>
        </is>
      </c>
      <c r="B5" s="9" t="n">
        <v>23846.5</v>
      </c>
      <c r="C5" s="10" t="n">
        <v>30</v>
      </c>
      <c r="D5" s="10" t="n">
        <v>166</v>
      </c>
      <c r="E5" s="9" t="n">
        <v>143.65</v>
      </c>
      <c r="F5" s="11" t="n">
        <v>13.45</v>
      </c>
    </row>
    <row r="6">
      <c r="A6" s="8" t="inlineStr">
        <is>
          <t>2. 25 a 34</t>
        </is>
      </c>
      <c r="B6" s="9" t="n">
        <v>40792.8</v>
      </c>
      <c r="C6" s="10" t="n">
        <v>44</v>
      </c>
      <c r="D6" s="10" t="n">
        <v>269</v>
      </c>
      <c r="E6" s="9" t="n">
        <v>151.65</v>
      </c>
      <c r="F6" s="11" t="n">
        <v>23</v>
      </c>
    </row>
    <row r="7">
      <c r="A7" s="8" t="inlineStr">
        <is>
          <t>3. 35 a 44</t>
        </is>
      </c>
      <c r="B7" s="9" t="n">
        <v>17359.6</v>
      </c>
      <c r="C7" s="10" t="n">
        <v>23</v>
      </c>
      <c r="D7" s="10" t="n">
        <v>122</v>
      </c>
      <c r="E7" s="9" t="n">
        <v>142.29</v>
      </c>
      <c r="F7" s="11" t="n">
        <v>9.789999999999999</v>
      </c>
    </row>
    <row r="8">
      <c r="A8" s="8" t="inlineStr">
        <is>
          <t>4. 45 a 59</t>
        </is>
      </c>
      <c r="B8" s="9" t="n">
        <v>46870</v>
      </c>
      <c r="C8" s="10" t="n">
        <v>51</v>
      </c>
      <c r="D8" s="10" t="n">
        <v>292</v>
      </c>
      <c r="E8" s="9" t="n">
        <v>160.51</v>
      </c>
      <c r="F8" s="11" t="n">
        <v>26.43</v>
      </c>
    </row>
    <row r="9">
      <c r="A9" s="8" t="inlineStr">
        <is>
          <t>5. 60+ anos</t>
        </is>
      </c>
      <c r="B9" s="9" t="n">
        <v>48478</v>
      </c>
      <c r="C9" s="10" t="n">
        <v>52</v>
      </c>
      <c r="D9" s="10" t="n">
        <v>296</v>
      </c>
      <c r="E9" s="9" t="n">
        <v>163.78</v>
      </c>
      <c r="F9" s="11" t="n">
        <v>27.34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12" customWidth="1" min="4" max="4"/>
    <col width="12" customWidth="1" min="5" max="5"/>
    <col width="19" customWidth="1" min="6" max="6"/>
    <col width="21" customWidth="1" min="7" max="7"/>
  </cols>
  <sheetData>
    <row r="1">
      <c r="A1" s="1" t="inlineStr">
        <is>
          <t>Faturamento por Categoria</t>
        </is>
      </c>
    </row>
    <row r="2">
      <c r="A2" s="2" t="inlineStr">
        <is>
          <t>Volume e margem por categoria de produto</t>
        </is>
      </c>
    </row>
    <row r="4">
      <c r="A4" s="7" t="inlineStr">
        <is>
          <t>categoria_nome</t>
        </is>
      </c>
      <c r="B4" s="7" t="inlineStr">
        <is>
          <t>faturamento</t>
        </is>
      </c>
      <c r="C4" s="7" t="inlineStr">
        <is>
          <t>margem</t>
        </is>
      </c>
      <c r="D4" s="7" t="inlineStr">
        <is>
          <t>unidades</t>
        </is>
      </c>
      <c r="E4" s="7" t="inlineStr">
        <is>
          <t>n_produtos</t>
        </is>
      </c>
      <c r="F4" s="7" t="inlineStr">
        <is>
          <t>margem_percentual</t>
        </is>
      </c>
      <c r="G4" s="7" t="inlineStr">
        <is>
          <t>percentual_do_total</t>
        </is>
      </c>
    </row>
    <row r="5">
      <c r="A5" s="8" t="inlineStr">
        <is>
          <t>Perfumaria</t>
        </is>
      </c>
      <c r="B5" s="9" t="n">
        <v>44906.2</v>
      </c>
      <c r="C5" s="9" t="n">
        <v>24367.4</v>
      </c>
      <c r="D5" s="10" t="n">
        <v>244</v>
      </c>
      <c r="E5" s="10" t="n">
        <v>4</v>
      </c>
      <c r="F5" s="11" t="n">
        <v>54.26</v>
      </c>
      <c r="G5" s="11" t="n">
        <v>19.82</v>
      </c>
    </row>
    <row r="6">
      <c r="A6" s="8" t="inlineStr">
        <is>
          <t>Primeiros Socorros</t>
        </is>
      </c>
      <c r="B6" s="9" t="n">
        <v>44815.7</v>
      </c>
      <c r="C6" s="9" t="n">
        <v>24558.4</v>
      </c>
      <c r="D6" s="10" t="n">
        <v>588</v>
      </c>
      <c r="E6" s="10" t="n">
        <v>10</v>
      </c>
      <c r="F6" s="11" t="n">
        <v>54.8</v>
      </c>
      <c r="G6" s="11" t="n">
        <v>19.78</v>
      </c>
    </row>
    <row r="7">
      <c r="A7" s="8" t="inlineStr">
        <is>
          <t>Dermocosmeticos</t>
        </is>
      </c>
      <c r="B7" s="9" t="n">
        <v>38202.2</v>
      </c>
      <c r="C7" s="9" t="n">
        <v>20578.3</v>
      </c>
      <c r="D7" s="10" t="n">
        <v>312</v>
      </c>
      <c r="E7" s="10" t="n">
        <v>5</v>
      </c>
      <c r="F7" s="11" t="n">
        <v>53.87</v>
      </c>
      <c r="G7" s="11" t="n">
        <v>16.86</v>
      </c>
    </row>
    <row r="8">
      <c r="A8" s="8" t="inlineStr">
        <is>
          <t>Suplementos Alimentares</t>
        </is>
      </c>
      <c r="B8" s="9" t="n">
        <v>28924.6</v>
      </c>
      <c r="C8" s="9" t="n">
        <v>15711.7</v>
      </c>
      <c r="D8" s="10" t="n">
        <v>446</v>
      </c>
      <c r="E8" s="10" t="n">
        <v>8</v>
      </c>
      <c r="F8" s="11" t="n">
        <v>54.32</v>
      </c>
      <c r="G8" s="11" t="n">
        <v>12.77</v>
      </c>
    </row>
    <row r="9">
      <c r="A9" s="8" t="inlineStr">
        <is>
          <t>Medicamentos de Referencia</t>
        </is>
      </c>
      <c r="B9" s="9" t="n">
        <v>18763.7</v>
      </c>
      <c r="C9" s="9" t="n">
        <v>10188.3</v>
      </c>
      <c r="D9" s="10" t="n">
        <v>481</v>
      </c>
      <c r="E9" s="10" t="n">
        <v>8</v>
      </c>
      <c r="F9" s="11" t="n">
        <v>54.3</v>
      </c>
      <c r="G9" s="11" t="n">
        <v>8.279999999999999</v>
      </c>
    </row>
    <row r="10">
      <c r="A10" s="8" t="inlineStr">
        <is>
          <t>Infantil</t>
        </is>
      </c>
      <c r="B10" s="9" t="n">
        <v>15725.2</v>
      </c>
      <c r="C10" s="9" t="n">
        <v>8617.800000000001</v>
      </c>
      <c r="D10" s="10" t="n">
        <v>432</v>
      </c>
      <c r="E10" s="10" t="n">
        <v>7</v>
      </c>
      <c r="F10" s="11" t="n">
        <v>54.8</v>
      </c>
      <c r="G10" s="11" t="n">
        <v>6.94</v>
      </c>
    </row>
    <row r="11">
      <c r="A11" s="8" t="inlineStr">
        <is>
          <t>Medicamentos Genericos</t>
        </is>
      </c>
      <c r="B11" s="9" t="n">
        <v>13114.1</v>
      </c>
      <c r="C11" s="9" t="n">
        <v>7065.799999999999</v>
      </c>
      <c r="D11" s="10" t="n">
        <v>629</v>
      </c>
      <c r="E11" s="10" t="n">
        <v>10</v>
      </c>
      <c r="F11" s="11" t="n">
        <v>53.88</v>
      </c>
      <c r="G11" s="11" t="n">
        <v>5.79</v>
      </c>
    </row>
    <row r="12">
      <c r="A12" s="8" t="inlineStr">
        <is>
          <t>Higiene Pessoal</t>
        </is>
      </c>
      <c r="B12" s="9" t="n">
        <v>11679.6</v>
      </c>
      <c r="C12" s="9" t="n">
        <v>6320.2</v>
      </c>
      <c r="D12" s="10" t="n">
        <v>603</v>
      </c>
      <c r="E12" s="10" t="n">
        <v>10</v>
      </c>
      <c r="F12" s="11" t="n">
        <v>54.11</v>
      </c>
      <c r="G12" s="11" t="n">
        <v>5.16</v>
      </c>
    </row>
    <row r="13">
      <c r="A13" s="8" t="inlineStr">
        <is>
          <t>Cosmeticos</t>
        </is>
      </c>
      <c r="B13" s="9" t="n">
        <v>5513.2</v>
      </c>
      <c r="C13" s="9" t="n">
        <v>3135.7</v>
      </c>
      <c r="D13" s="10" t="n">
        <v>264</v>
      </c>
      <c r="E13" s="10" t="n">
        <v>5</v>
      </c>
      <c r="F13" s="11" t="n">
        <v>56.88</v>
      </c>
      <c r="G13" s="11" t="n">
        <v>2.43</v>
      </c>
    </row>
    <row r="14">
      <c r="A14" s="8" t="inlineStr">
        <is>
          <t>Medicamentos Similares</t>
        </is>
      </c>
      <c r="B14" s="9" t="n">
        <v>4904.099999999999</v>
      </c>
      <c r="C14" s="9" t="n">
        <v>2680.6</v>
      </c>
      <c r="D14" s="10" t="n">
        <v>248</v>
      </c>
      <c r="E14" s="10" t="n">
        <v>4</v>
      </c>
      <c r="F14" s="11" t="n">
        <v>54.66</v>
      </c>
      <c r="G14" s="11" t="n">
        <v>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21" customWidth="1" min="4" max="4"/>
  </cols>
  <sheetData>
    <row r="1">
      <c r="A1" s="1" t="inlineStr">
        <is>
          <t>Distribuicao de Formas de Pagamento</t>
        </is>
      </c>
    </row>
    <row r="2">
      <c r="A2" s="2" t="inlineStr">
        <is>
          <t>Ordenado por faturamento</t>
        </is>
      </c>
    </row>
    <row r="4">
      <c r="A4" s="7" t="inlineStr">
        <is>
          <t>forma_pagamento</t>
        </is>
      </c>
      <c r="B4" s="7" t="inlineStr">
        <is>
          <t>faturamento</t>
        </is>
      </c>
      <c r="C4" s="7" t="inlineStr">
        <is>
          <t>n_vendas</t>
        </is>
      </c>
      <c r="D4" s="7" t="inlineStr">
        <is>
          <t>percentual_do_total</t>
        </is>
      </c>
    </row>
    <row r="5">
      <c r="A5" s="8" t="inlineStr">
        <is>
          <t>CARTAO_CREDITO</t>
        </is>
      </c>
      <c r="B5" s="9" t="n">
        <v>76557.2</v>
      </c>
      <c r="C5" s="10" t="n">
        <v>514</v>
      </c>
      <c r="D5" s="11" t="n">
        <v>33.79</v>
      </c>
    </row>
    <row r="6">
      <c r="A6" s="8" t="inlineStr">
        <is>
          <t>PIX</t>
        </is>
      </c>
      <c r="B6" s="9" t="n">
        <v>60959.7</v>
      </c>
      <c r="C6" s="10" t="n">
        <v>368</v>
      </c>
      <c r="D6" s="11" t="n">
        <v>26.91</v>
      </c>
    </row>
    <row r="7">
      <c r="A7" s="8" t="inlineStr">
        <is>
          <t>CARTAO_DEBITO</t>
        </is>
      </c>
      <c r="B7" s="9" t="n">
        <v>46536.6</v>
      </c>
      <c r="C7" s="10" t="n">
        <v>290</v>
      </c>
      <c r="D7" s="11" t="n">
        <v>20.54</v>
      </c>
    </row>
    <row r="8">
      <c r="A8" s="8" t="inlineStr">
        <is>
          <t>DINHEIRO</t>
        </is>
      </c>
      <c r="B8" s="9" t="n">
        <v>32319</v>
      </c>
      <c r="C8" s="10" t="n">
        <v>217</v>
      </c>
      <c r="D8" s="11" t="n">
        <v>14.27</v>
      </c>
    </row>
    <row r="9">
      <c r="A9" s="8" t="inlineStr">
        <is>
          <t>CONVENIO</t>
        </is>
      </c>
      <c r="B9" s="9" t="n">
        <v>10176.1</v>
      </c>
      <c r="C9" s="10" t="n">
        <v>69</v>
      </c>
      <c r="D9" s="11" t="n">
        <v>4.49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Insights de Negocio</t>
        </is>
      </c>
    </row>
    <row r="2">
      <c r="A2" s="2" t="inlineStr">
        <is>
          <t>Achados principais da analise exploratoria</t>
        </is>
      </c>
    </row>
    <row r="4" ht="45" customHeight="1">
      <c r="A4" s="12" t="inlineStr">
        <is>
          <t>1. O faturamento total do periodo foi de R$ 226,548.60, distribuido em 1,458 vendas concluidas e 4,247 itens comercializados. O ticket medio ficou em R$ 155.38.</t>
        </is>
      </c>
    </row>
    <row r="5" ht="45" customHeight="1">
      <c r="A5" s="12" t="inlineStr">
        <is>
          <t>2. A margem bruta acumulada foi de R$ 123,224.20 (54.4% sobre o faturamento). A categoria de MAIOR margem foi 'Cosmeticos' (56.9%) e a de MENOR foi 'Dermocosmeticos' (53.9%).</t>
        </is>
      </c>
    </row>
    <row r="6" ht="45" customHeight="1">
      <c r="A6" s="12" t="inlineStr">
        <is>
          <t>3. A filial lider foi 'PharmaMinas Belo Horizonte Savassi' em Belo Horizonte, com faturamento de R$ 42,822.90 (18.9% do total) — mais de 3x acima da mediana. Ha oportunidade de estudar suas praticas para replicar em outras unidades.</t>
        </is>
      </c>
    </row>
    <row r="7" ht="45" customHeight="1">
      <c r="A7" s="12" t="inlineStr">
        <is>
          <t>4. Concentracao top 10 produtos: 54.1% do faturamento vem de apenas 10 SKUs. A regra 80/20 exige 30 produtos para atingir 80% do faturamento (de 71 SKUs vendidos). Isso indica um catalogo relativamente diversificado, com riscos moderados de dependencia de poucos produtos.</t>
        </is>
      </c>
    </row>
    <row r="8" ht="45" customHeight="1">
      <c r="A8" s="12" t="inlineStr">
        <is>
          <t>5. O comportamento por dia da semana mostra ticket medio de R$ 153.83 nos fins de semana contra R$ 155.98 nos dias uteis, uma diferenca de -1.4%. Isso sugere que campanhas focadas em fim de semana podem ter maior retorno por transacao.</t>
        </is>
      </c>
    </row>
    <row r="9" ht="45" customHeight="1">
      <c r="A9" s="12" t="inlineStr">
        <is>
          <t>6. A base de clientes conta com 200 compradores identificados. A categoria 'Perfumaria' lidera em faturamento (R$ 44,906.20, 19.8% do total), sugerindo forte aderencia ao mix desta categoria — vale investigar sortimento e posicionamento na loja fisica.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2026-07-11T17:32:48Z</dcterms:created>
  <dcterms:modified xmlns:dcterms="http://purl.org/dc/terms/" xmlns:xsi="http://www.w3.org/2001/XMLSchema-instance" xsi:type="dcterms:W3CDTF">2026-07-11T17:32:48Z</dcterms:modified>
</cp:coreProperties>
</file>